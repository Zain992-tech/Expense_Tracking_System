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D:\Degree\Semester 01\Applications of Information and Communication Technologies (CS-305)\"/>
    </mc:Choice>
  </mc:AlternateContent>
  <xr:revisionPtr revIDLastSave="0" documentId="13_ncr:1_{4AEF08E7-810B-45FC-BD55-F2A3B7E8CF70}" xr6:coauthVersionLast="47" xr6:coauthVersionMax="47" xr10:uidLastSave="{00000000-0000-0000-0000-000000000000}"/>
  <bookViews>
    <workbookView xWindow="-120" yWindow="-120" windowWidth="20730" windowHeight="11040" activeTab="3" xr2:uid="{E732F54A-0813-4BE8-96A6-1121CD237609}"/>
  </bookViews>
  <sheets>
    <sheet name="Income Record" sheetId="2" r:id="rId1"/>
    <sheet name="Expense Record" sheetId="3" r:id="rId2"/>
    <sheet name="Monthly Summary" sheetId="4" r:id="rId3"/>
    <sheet name="Category Analysi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4" l="1"/>
  <c r="C3" i="4"/>
  <c r="B9" i="5"/>
  <c r="B8" i="5"/>
  <c r="B7" i="5"/>
  <c r="B6" i="5"/>
  <c r="B5" i="5"/>
  <c r="B3" i="5"/>
  <c r="B4" i="5"/>
  <c r="B2" i="5"/>
  <c r="G6" i="3"/>
  <c r="G6" i="2"/>
  <c r="C5" i="4" l="1"/>
</calcChain>
</file>

<file path=xl/sharedStrings.xml><?xml version="1.0" encoding="utf-8"?>
<sst xmlns="http://schemas.openxmlformats.org/spreadsheetml/2006/main" count="59" uniqueCount="41">
  <si>
    <t>Date</t>
  </si>
  <si>
    <t>Source</t>
  </si>
  <si>
    <t>Description</t>
  </si>
  <si>
    <t>Amount</t>
  </si>
  <si>
    <t>Total Income</t>
  </si>
  <si>
    <t>Category</t>
  </si>
  <si>
    <t>Shopping</t>
  </si>
  <si>
    <t>Clothes</t>
  </si>
  <si>
    <t>Salary</t>
  </si>
  <si>
    <t>From Office</t>
  </si>
  <si>
    <t>Total Expense</t>
  </si>
  <si>
    <t>Savings</t>
  </si>
  <si>
    <t>Food</t>
  </si>
  <si>
    <t>Transport</t>
  </si>
  <si>
    <t>Bills</t>
  </si>
  <si>
    <t>Education</t>
  </si>
  <si>
    <t>Entertainment</t>
  </si>
  <si>
    <t>Healthcare</t>
  </si>
  <si>
    <t>Miscellaneous</t>
  </si>
  <si>
    <t>26/6/2026</t>
  </si>
  <si>
    <t>24/6/2026</t>
  </si>
  <si>
    <t>Pizza</t>
  </si>
  <si>
    <t>15/6/2026</t>
  </si>
  <si>
    <t>Freelancing</t>
  </si>
  <si>
    <t>Web Design</t>
  </si>
  <si>
    <t>Outing</t>
  </si>
  <si>
    <t>Stationary</t>
  </si>
  <si>
    <t>14/6/2026</t>
  </si>
  <si>
    <t>Birthday Cake</t>
  </si>
  <si>
    <t>16/6/2026</t>
  </si>
  <si>
    <t>Electricity</t>
  </si>
  <si>
    <t>21/6/2026</t>
  </si>
  <si>
    <t>Medicines</t>
  </si>
  <si>
    <t>23/6/2026</t>
  </si>
  <si>
    <t>Movie</t>
  </si>
  <si>
    <t>Vegetables</t>
  </si>
  <si>
    <t>25/6/2026</t>
  </si>
  <si>
    <t>Water</t>
  </si>
  <si>
    <t>20/6/2026</t>
  </si>
  <si>
    <t>Scholarship</t>
  </si>
  <si>
    <t>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</si>
</sst>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3" borderId="0" xfId="2" applyFont="1" applyAlignment="1">
      <alignment horizontal="center" vertical="center"/>
    </xf>
    <xf numFmtId="14" fontId="1" fillId="3" borderId="0" xfId="2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4" borderId="0" xfId="3"/>
    <xf numFmtId="0" fontId="1" fillId="4" borderId="0" xfId="3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0" xfId="3" applyFont="1" applyAlignment="1">
      <alignment horizontal="center" vertical="center"/>
    </xf>
    <xf numFmtId="0" fontId="0" fillId="2" borderId="0" xfId="1" applyFont="1" applyAlignment="1">
      <alignment horizontal="center" vertical="center"/>
    </xf>
  </cellXfs>
  <cellStyles count="4">
    <cellStyle name="40% - Accent6" xfId="2" builtinId="51"/>
    <cellStyle name="60% - Accent1" xfId="3" builtinId="32"/>
    <cellStyle name="60% - Accent2" xfId="1" builtinId="36"/>
    <cellStyle name="Normal" xfId="0" builtinId="0"/>
  </cellStyles>
  <dxfs count="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vs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Summary'!$B$3:$B$5</c:f>
              <c:strCache>
                <c:ptCount val="3"/>
                <c:pt idx="0">
                  <c:v>Total Income</c:v>
                </c:pt>
                <c:pt idx="1">
                  <c:v>Total Expense</c:v>
                </c:pt>
                <c:pt idx="2">
                  <c:v>Savings</c:v>
                </c:pt>
              </c:strCache>
            </c:strRef>
          </c:cat>
          <c:val>
            <c:numRef>
              <c:f>'Monthly Summary'!$C$3:$C$5</c:f>
              <c:numCache>
                <c:formatCode>General</c:formatCode>
                <c:ptCount val="3"/>
                <c:pt idx="0">
                  <c:v>139500</c:v>
                </c:pt>
                <c:pt idx="1">
                  <c:v>25250</c:v>
                </c:pt>
                <c:pt idx="2">
                  <c:v>114250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6-40A3-8763-D9C930E53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336816"/>
        <c:axId val="503328656"/>
      </c:barChart>
      <c:catAx>
        <c:axId val="50333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28656"/>
        <c:crosses val="autoZero"/>
        <c:auto val="1"/>
        <c:lblAlgn val="ctr"/>
        <c:lblOffset val="100"/>
        <c:noMultiLvlLbl val="0"/>
      </c:catAx>
      <c:valAx>
        <c:axId val="50332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3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F4-45CB-AF2D-5F2E737B7C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1F4-45CB-AF2D-5F2E737B7C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F4-45CB-AF2D-5F2E737B7C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1F4-45CB-AF2D-5F2E737B7C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F4-45CB-AF2D-5F2E737B7C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1F4-45CB-AF2D-5F2E737B7C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1F4-45CB-AF2D-5F2E737B7C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F4-45CB-AF2D-5F2E737B7C12}"/>
              </c:ext>
            </c:extLst>
          </c:dPt>
          <c:dLbls>
            <c:dLbl>
              <c:idx val="0"/>
              <c:layout>
                <c:manualLayout>
                  <c:x val="0.24722222222222223"/>
                  <c:y val="-4.62962962962962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F4-45CB-AF2D-5F2E737B7C12}"/>
                </c:ext>
              </c:extLst>
            </c:dLbl>
            <c:dLbl>
              <c:idx val="1"/>
              <c:layout>
                <c:manualLayout>
                  <c:x val="0.15"/>
                  <c:y val="8.33333333333333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F4-45CB-AF2D-5F2E737B7C12}"/>
                </c:ext>
              </c:extLst>
            </c:dLbl>
            <c:dLbl>
              <c:idx val="2"/>
              <c:layout>
                <c:manualLayout>
                  <c:x val="4.0294735487311023E-2"/>
                  <c:y val="0.112417016249037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F4-45CB-AF2D-5F2E737B7C12}"/>
                </c:ext>
              </c:extLst>
            </c:dLbl>
            <c:dLbl>
              <c:idx val="3"/>
              <c:layout>
                <c:manualLayout>
                  <c:x val="-6.1111111111111109E-2"/>
                  <c:y val="-1.6975112544026657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1F4-45CB-AF2D-5F2E737B7C12}"/>
                </c:ext>
              </c:extLst>
            </c:dLbl>
            <c:dLbl>
              <c:idx val="4"/>
              <c:layout>
                <c:manualLayout>
                  <c:x val="-0.10277777777777776"/>
                  <c:y val="0.1666666666666666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F4-45CB-AF2D-5F2E737B7C12}"/>
                </c:ext>
              </c:extLst>
            </c:dLbl>
            <c:dLbl>
              <c:idx val="5"/>
              <c:layout>
                <c:manualLayout>
                  <c:x val="-0.125"/>
                  <c:y val="4.62962962962962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F4-45CB-AF2D-5F2E737B7C12}"/>
                </c:ext>
              </c:extLst>
            </c:dLbl>
            <c:dLbl>
              <c:idx val="6"/>
              <c:layout>
                <c:manualLayout>
                  <c:x val="-1.6666666666666642E-2"/>
                  <c:y val="-5.55555555555555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1F4-45CB-AF2D-5F2E737B7C12}"/>
                </c:ext>
              </c:extLst>
            </c:dLbl>
            <c:dLbl>
              <c:idx val="7"/>
              <c:layout>
                <c:manualLayout>
                  <c:x val="0.26111111111111113"/>
                  <c:y val="-3.24074074074074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F4-45CB-AF2D-5F2E737B7C1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Analysis'!$A$2:$A$9</c:f>
              <c:strCache>
                <c:ptCount val="8"/>
                <c:pt idx="0">
                  <c:v>Food</c:v>
                </c:pt>
                <c:pt idx="1">
                  <c:v>Transport</c:v>
                </c:pt>
                <c:pt idx="2">
                  <c:v>Shopping</c:v>
                </c:pt>
                <c:pt idx="3">
                  <c:v>Bills</c:v>
                </c:pt>
                <c:pt idx="4">
                  <c:v>Education</c:v>
                </c:pt>
                <c:pt idx="5">
                  <c:v>Entertainment</c:v>
                </c:pt>
                <c:pt idx="6">
                  <c:v>Healthcare</c:v>
                </c:pt>
                <c:pt idx="7">
                  <c:v>Miscellaneous</c:v>
                </c:pt>
              </c:strCache>
            </c:strRef>
          </c:cat>
          <c:val>
            <c:numRef>
              <c:f>'Category Analysis'!$B$2:$B$9</c:f>
              <c:numCache>
                <c:formatCode>General</c:formatCode>
                <c:ptCount val="8"/>
                <c:pt idx="0">
                  <c:v>3850</c:v>
                </c:pt>
                <c:pt idx="1">
                  <c:v>500</c:v>
                </c:pt>
                <c:pt idx="2">
                  <c:v>5000</c:v>
                </c:pt>
                <c:pt idx="3">
                  <c:v>11000</c:v>
                </c:pt>
                <c:pt idx="4">
                  <c:v>1200</c:v>
                </c:pt>
                <c:pt idx="5">
                  <c:v>300</c:v>
                </c:pt>
                <c:pt idx="6">
                  <c:v>2300</c:v>
                </c:pt>
                <c:pt idx="7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4-45CB-AF2D-5F2E737B7C1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</xdr:colOff>
      <xdr:row>0</xdr:row>
      <xdr:rowOff>142874</xdr:rowOff>
    </xdr:from>
    <xdr:to>
      <xdr:col>10</xdr:col>
      <xdr:colOff>809624</xdr:colOff>
      <xdr:row>19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43E437-5BBF-2080-CC70-ABB4A9C2A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171450</xdr:rowOff>
    </xdr:from>
    <xdr:to>
      <xdr:col>8</xdr:col>
      <xdr:colOff>485775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CC73D-B799-72F4-9703-0EC519AFD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9B7B1-1783-4319-B39D-B166C99727ED}" name="Table1" displayName="Table1" ref="A1:B9" totalsRowShown="0">
  <autoFilter ref="A1:B9" xr:uid="{8269B7B1-1783-4319-B39D-B166C99727ED}"/>
  <tableColumns count="2">
    <tableColumn id="1" xr3:uid="{05545E71-B930-411D-A271-010280DE3CBA}" name="Category" dataDxfId="1"/>
    <tableColumn id="2" xr3:uid="{608FDB29-40C3-41ED-8205-9772AC4DEEED}" name="Amou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3579-14AC-46F8-BB25-5585171D3CFD}">
  <dimension ref="A1:G6"/>
  <sheetViews>
    <sheetView workbookViewId="0">
      <pane ySplit="1" topLeftCell="A2" activePane="bottomLeft" state="frozen"/>
      <selection pane="bottomLeft" activeCell="G6" sqref="G6"/>
    </sheetView>
  </sheetViews>
  <sheetFormatPr defaultColWidth="12.7109375" defaultRowHeight="15" customHeight="1" x14ac:dyDescent="0.25"/>
  <cols>
    <col min="1" max="1" width="12.7109375" style="6"/>
    <col min="2" max="16384" width="12.7109375" style="1"/>
  </cols>
  <sheetData>
    <row r="1" spans="1:7" ht="15" customHeight="1" x14ac:dyDescent="0.25">
      <c r="A1" s="5" t="s">
        <v>0</v>
      </c>
      <c r="B1" s="2" t="s">
        <v>1</v>
      </c>
      <c r="C1" s="2" t="s">
        <v>2</v>
      </c>
      <c r="D1" s="2" t="s">
        <v>3</v>
      </c>
    </row>
    <row r="2" spans="1:7" ht="15" customHeight="1" x14ac:dyDescent="0.25">
      <c r="A2" s="6">
        <v>46028</v>
      </c>
      <c r="B2" s="1" t="s">
        <v>8</v>
      </c>
      <c r="C2" s="1" t="s">
        <v>9</v>
      </c>
      <c r="D2" s="1">
        <v>90000</v>
      </c>
    </row>
    <row r="3" spans="1:7" ht="15" customHeight="1" x14ac:dyDescent="0.25">
      <c r="A3" s="6" t="s">
        <v>22</v>
      </c>
      <c r="B3" s="1" t="s">
        <v>23</v>
      </c>
      <c r="C3" s="1" t="s">
        <v>24</v>
      </c>
      <c r="D3" s="1">
        <v>12000</v>
      </c>
    </row>
    <row r="4" spans="1:7" ht="15" customHeight="1" x14ac:dyDescent="0.25">
      <c r="A4" s="6" t="s">
        <v>38</v>
      </c>
      <c r="B4" s="1" t="s">
        <v>39</v>
      </c>
      <c r="C4" s="1" t="s">
        <v>40</v>
      </c>
      <c r="D4" s="1">
        <v>37500</v>
      </c>
    </row>
    <row r="6" spans="1:7" ht="15" customHeight="1" x14ac:dyDescent="0.25">
      <c r="F6" s="3" t="s">
        <v>4</v>
      </c>
      <c r="G6" s="3">
        <f>SUM(D2:D1000)</f>
        <v>139500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55D1-B7D1-4CFE-AB4B-EEADCF0AEC1A}">
  <dimension ref="A1:G12"/>
  <sheetViews>
    <sheetView workbookViewId="0">
      <pane ySplit="1" topLeftCell="A2" activePane="bottomLeft" state="frozen"/>
      <selection pane="bottomLeft" activeCell="G6" sqref="G6"/>
    </sheetView>
  </sheetViews>
  <sheetFormatPr defaultColWidth="15.7109375" defaultRowHeight="15" customHeight="1" x14ac:dyDescent="0.25"/>
  <cols>
    <col min="1" max="1" width="15.7109375" style="6"/>
    <col min="2" max="16384" width="15.7109375" style="1"/>
  </cols>
  <sheetData>
    <row r="1" spans="1:7" ht="15" customHeight="1" x14ac:dyDescent="0.25">
      <c r="A1" s="5" t="s">
        <v>0</v>
      </c>
      <c r="B1" s="4" t="s">
        <v>5</v>
      </c>
      <c r="C1" s="2" t="s">
        <v>2</v>
      </c>
      <c r="D1" s="2" t="s">
        <v>3</v>
      </c>
    </row>
    <row r="2" spans="1:7" ht="15" customHeight="1" x14ac:dyDescent="0.25">
      <c r="A2" s="6">
        <v>46059</v>
      </c>
      <c r="B2" s="1" t="s">
        <v>6</v>
      </c>
      <c r="C2" s="1" t="s">
        <v>7</v>
      </c>
      <c r="D2" s="1">
        <v>5000</v>
      </c>
    </row>
    <row r="3" spans="1:7" ht="15" customHeight="1" x14ac:dyDescent="0.25">
      <c r="A3" s="6">
        <v>46209</v>
      </c>
      <c r="B3" s="1" t="s">
        <v>12</v>
      </c>
      <c r="C3" s="1" t="s">
        <v>21</v>
      </c>
      <c r="D3" s="1">
        <v>1000</v>
      </c>
    </row>
    <row r="4" spans="1:7" ht="15" customHeight="1" x14ac:dyDescent="0.25">
      <c r="A4" s="6">
        <v>46362</v>
      </c>
      <c r="B4" s="1" t="s">
        <v>13</v>
      </c>
      <c r="C4" s="1" t="s">
        <v>25</v>
      </c>
      <c r="D4" s="1">
        <v>500</v>
      </c>
    </row>
    <row r="5" spans="1:7" ht="15" customHeight="1" x14ac:dyDescent="0.25">
      <c r="A5" s="6">
        <v>46362</v>
      </c>
      <c r="B5" s="1" t="s">
        <v>15</v>
      </c>
      <c r="C5" s="1" t="s">
        <v>26</v>
      </c>
      <c r="D5" s="1">
        <v>1200</v>
      </c>
    </row>
    <row r="6" spans="1:7" ht="15" customHeight="1" x14ac:dyDescent="0.25">
      <c r="A6" s="6" t="s">
        <v>27</v>
      </c>
      <c r="B6" s="1" t="s">
        <v>12</v>
      </c>
      <c r="C6" s="1" t="s">
        <v>28</v>
      </c>
      <c r="D6" s="1">
        <v>2500</v>
      </c>
      <c r="F6" s="11" t="s">
        <v>10</v>
      </c>
      <c r="G6" s="3">
        <f>SUM(D2:D1000)</f>
        <v>25250</v>
      </c>
    </row>
    <row r="7" spans="1:7" ht="15" customHeight="1" x14ac:dyDescent="0.25">
      <c r="A7" s="6" t="s">
        <v>29</v>
      </c>
      <c r="B7" s="1" t="s">
        <v>14</v>
      </c>
      <c r="C7" s="1" t="s">
        <v>30</v>
      </c>
      <c r="D7" s="1">
        <v>9700</v>
      </c>
    </row>
    <row r="8" spans="1:7" ht="15" customHeight="1" x14ac:dyDescent="0.25">
      <c r="A8" s="6" t="s">
        <v>31</v>
      </c>
      <c r="B8" s="1" t="s">
        <v>17</v>
      </c>
      <c r="C8" s="1" t="s">
        <v>32</v>
      </c>
      <c r="D8" s="1">
        <v>2300</v>
      </c>
    </row>
    <row r="9" spans="1:7" ht="15" customHeight="1" x14ac:dyDescent="0.25">
      <c r="A9" s="6" t="s">
        <v>33</v>
      </c>
      <c r="B9" s="1" t="s">
        <v>16</v>
      </c>
      <c r="C9" s="1" t="s">
        <v>34</v>
      </c>
      <c r="D9" s="1">
        <v>300</v>
      </c>
    </row>
    <row r="10" spans="1:7" ht="15" customHeight="1" x14ac:dyDescent="0.25">
      <c r="A10" s="6" t="s">
        <v>20</v>
      </c>
      <c r="B10" s="1" t="s">
        <v>18</v>
      </c>
      <c r="D10" s="1">
        <v>1100</v>
      </c>
    </row>
    <row r="11" spans="1:7" ht="15" customHeight="1" x14ac:dyDescent="0.25">
      <c r="A11" s="6" t="s">
        <v>36</v>
      </c>
      <c r="B11" s="1" t="s">
        <v>12</v>
      </c>
      <c r="C11" s="1" t="s">
        <v>35</v>
      </c>
      <c r="D11" s="1">
        <v>350</v>
      </c>
    </row>
    <row r="12" spans="1:7" ht="15" customHeight="1" x14ac:dyDescent="0.25">
      <c r="A12" s="6" t="s">
        <v>19</v>
      </c>
      <c r="B12" s="1" t="s">
        <v>14</v>
      </c>
      <c r="C12" s="1" t="s">
        <v>37</v>
      </c>
      <c r="D12" s="1">
        <v>1300</v>
      </c>
    </row>
  </sheetData>
  <dataValidations count="1">
    <dataValidation type="list" allowBlank="1" showInputMessage="1" showErrorMessage="1" sqref="B1:B1048576" xr:uid="{CDE42FAB-52DB-4B1D-8266-53D14811CD8B}">
      <formula1>"Food, Transport, Shopping, Education, Bills, Entertainment, Healthcare, Miscellaneous"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66DF-73DA-4CA8-8BA2-940F40382ABA}">
  <dimension ref="B3:C5"/>
  <sheetViews>
    <sheetView workbookViewId="0">
      <selection activeCell="C4" sqref="C3:C4"/>
    </sheetView>
  </sheetViews>
  <sheetFormatPr defaultColWidth="12.7109375" defaultRowHeight="15" customHeight="1" x14ac:dyDescent="0.25"/>
  <cols>
    <col min="1" max="16384" width="12.7109375" style="1"/>
  </cols>
  <sheetData>
    <row r="3" spans="2:3" ht="15" customHeight="1" x14ac:dyDescent="0.25">
      <c r="B3" s="7" t="s">
        <v>4</v>
      </c>
      <c r="C3" s="8">
        <f>SUM('Income Record'!D:D)</f>
        <v>139500</v>
      </c>
    </row>
    <row r="4" spans="2:3" ht="15" customHeight="1" x14ac:dyDescent="0.25">
      <c r="B4" s="7" t="s">
        <v>10</v>
      </c>
      <c r="C4" s="8">
        <f>SUM('Expense Record'!D:D)</f>
        <v>25250</v>
      </c>
    </row>
    <row r="5" spans="2:3" ht="15" customHeight="1" x14ac:dyDescent="0.25">
      <c r="B5" s="7" t="s">
        <v>11</v>
      </c>
      <c r="C5" s="10">
        <f>C3-C4</f>
        <v>114250</v>
      </c>
    </row>
  </sheetData>
  <conditionalFormatting sqref="C3:C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AE0D-CBEE-4E40-9E37-B1969ED9DB7E}">
  <dimension ref="A1:B9"/>
  <sheetViews>
    <sheetView tabSelected="1" workbookViewId="0">
      <selection activeCell="B2" sqref="B2"/>
    </sheetView>
  </sheetViews>
  <sheetFormatPr defaultColWidth="15.7109375" defaultRowHeight="15" customHeight="1" x14ac:dyDescent="0.25"/>
  <cols>
    <col min="1" max="16384" width="15.7109375" style="1"/>
  </cols>
  <sheetData>
    <row r="1" spans="1:2" ht="15" customHeight="1" x14ac:dyDescent="0.25">
      <c r="A1" s="9" t="s">
        <v>5</v>
      </c>
      <c r="B1" s="9" t="s">
        <v>3</v>
      </c>
    </row>
    <row r="2" spans="1:2" ht="15" customHeight="1" x14ac:dyDescent="0.25">
      <c r="A2" s="1" t="s">
        <v>12</v>
      </c>
      <c r="B2" s="1">
        <f>SUMIF('Expense Record'!B:B,"Food",'Expense Record'!D:D)</f>
        <v>3850</v>
      </c>
    </row>
    <row r="3" spans="1:2" ht="15" customHeight="1" x14ac:dyDescent="0.25">
      <c r="A3" s="1" t="s">
        <v>13</v>
      </c>
      <c r="B3" s="1">
        <f>SUMIF('Expense Record'!B:B,"Transport",'Expense Record'!D:D)</f>
        <v>500</v>
      </c>
    </row>
    <row r="4" spans="1:2" ht="15" customHeight="1" x14ac:dyDescent="0.25">
      <c r="A4" s="1" t="s">
        <v>6</v>
      </c>
      <c r="B4" s="1">
        <f>SUMIF('Expense Record'!B:B,"Shopping",'Expense Record'!D:D)</f>
        <v>5000</v>
      </c>
    </row>
    <row r="5" spans="1:2" ht="15" customHeight="1" x14ac:dyDescent="0.25">
      <c r="A5" s="1" t="s">
        <v>14</v>
      </c>
      <c r="B5" s="1">
        <f>SUMIF('Expense Record'!B:B,"Bills",'Expense Record'!D:D)</f>
        <v>11000</v>
      </c>
    </row>
    <row r="6" spans="1:2" ht="15" customHeight="1" x14ac:dyDescent="0.25">
      <c r="A6" s="1" t="s">
        <v>15</v>
      </c>
      <c r="B6" s="1">
        <f>SUMIF('Expense Record'!B:B,"Education",'Expense Record'!D:D)</f>
        <v>1200</v>
      </c>
    </row>
    <row r="7" spans="1:2" ht="15" customHeight="1" x14ac:dyDescent="0.25">
      <c r="A7" s="1" t="s">
        <v>16</v>
      </c>
      <c r="B7" s="1">
        <f>SUMIF('Expense Record'!B:B,"Entertainment",'Expense Record'!D:D)</f>
        <v>300</v>
      </c>
    </row>
    <row r="8" spans="1:2" ht="15" customHeight="1" x14ac:dyDescent="0.25">
      <c r="A8" s="1" t="s">
        <v>17</v>
      </c>
      <c r="B8" s="1">
        <f>SUMIF('Expense Record'!B:B,"Healthcare",'Expense Record'!D:D)</f>
        <v>2300</v>
      </c>
    </row>
    <row r="9" spans="1:2" ht="15" customHeight="1" x14ac:dyDescent="0.25">
      <c r="A9" s="1" t="s">
        <v>18</v>
      </c>
      <c r="B9" s="1">
        <f>SUMIF('Expense Record'!B:B,"Miscellaneous",'Expense Record'!D:D)</f>
        <v>1100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04D714-9A44-4848-A289-CBF3F1F6E3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Record</vt:lpstr>
      <vt:lpstr>Expense Record</vt:lpstr>
      <vt:lpstr>Monthly Summary</vt:lpstr>
      <vt:lpstr>Category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Zain Khalid</dc:creator>
  <cp:lastModifiedBy>Muhammad Zain Khalid</cp:lastModifiedBy>
  <dcterms:created xsi:type="dcterms:W3CDTF">2026-06-26T04:49:02Z</dcterms:created>
  <dcterms:modified xsi:type="dcterms:W3CDTF">2026-07-15T11:01:35Z</dcterms:modified>
</cp:coreProperties>
</file>